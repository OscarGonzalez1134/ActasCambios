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989" documentId="8_{F4E4E0CB-7B67-4DD5-8CD0-0E92B55E9A8C}" xr6:coauthVersionLast="47" xr6:coauthVersionMax="47" xr10:uidLastSave="{B24D66A8-E64A-42A1-A864-C2F67C0A0922}"/>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 l="1" a="1"/>
  <c r="G9" i="1" a="1"/>
  <c r="G3" i="1" a="1"/>
  <c r="G9" i="1" l="1"/>
  <c r="G10" i="1"/>
  <c r="G3" i="1"/>
  <c r="G7" i="1" a="1"/>
  <c r="G8" i="1" a="1"/>
  <c r="G6" i="1" a="1"/>
  <c r="G4" i="1" a="1"/>
  <c r="G2" i="1" a="1"/>
  <c r="G5" i="1" a="1"/>
  <c r="G5" i="1" l="1"/>
  <c r="G2" i="1"/>
  <c r="G4" i="1"/>
  <c r="G6" i="1"/>
  <c r="G8" i="1"/>
  <c r="G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<sst xmlns="http://schemas.openxmlformats.org/spreadsheetml/2006/main" count="508" uniqueCount="377">
  <si>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</si>
  <si>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</si>
  <si>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</si>
  <si>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</si>
  <si>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</si>
  <si>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</si>
  <si>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</si>
  <si>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</si>
  <si>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</si>
  <si>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</si>
  <si>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</si>
  <si>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</si>
  <si>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</si>
  <si>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</si>
  <si>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</si>
  <si>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</si>
  <si>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</si>
  <si>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</si>
  <si>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</si>
  <si>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</si>
  <si>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</si>
  <si>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</si>
  <si>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</si>
  <si>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</si>
  <si>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</si>
  <si>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</si>
  <si>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</si>
  <si>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</si>
  <si>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</si>
  <si>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</si>
  <si>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</si>
  <si>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</si>
  <si>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</si>
  <si>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</si>
  <si>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</si>
  <si>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</si>
  <si>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</si>
  <si>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</si>
  <si>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</si>
  <si>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</si>
  <si>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</si>
  <si>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</si>
  <si>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</si>
  <si>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</si>
  <si>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</si>
  <si>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</si>
  <si>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</si>
  <si>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</si>
  <si>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</si>
  <si>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</si>
  <si>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</si>
  <si>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</si>
  <si>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</si>
  <si>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</si>
  <si>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</si>
  <si>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</si>
  <si>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</si>
  <si>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</si>
  <si>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</si>
  <si>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</si>
  <si>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</si>
  <si>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</si>
  <si>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</si>
  <si>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</si>
  <si>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</si>
  <si>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</si>
  <si>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</si>
  <si>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</si>
  <si>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</si>
  <si>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</si>
  <si>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</si>
  <si>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</si>
  <si>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</si>
  <si>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</si>
  <si>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</si>
  <si>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</si>
  <si>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</si>
  <si>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</si>
  <si>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</si>
  <si>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</si>
  <si>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</si>
  <si>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</si>
  <si>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</si>
  <si>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</si>
  <si>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</si>
  <si>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</si>
  <si>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</si>
  <si>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</si>
  <si>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</si>
  <si>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</si>
  <si>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</si>
  <si>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</si>
  <si>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</si>
  <si>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</si>
  <si>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</si>
  <si>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</si>
  <si>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</si>
  <si>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</si>
  <si>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</si>
  <si>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</si>
  <si>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</si>
  <si>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</si>
  <si>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</si>
  <si>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</si>
  <si>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</si>
  <si>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</si>
  <si>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</si>
  <si>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</si>
  <si>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</si>
  <si>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</si>
  <si>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</si>
  <si>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</si>
  <si>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</si>
  <si>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</si>
  <si>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</si>
  <si>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</si>
  <si>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</si>
  <si>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</si>
  <si>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</si>
  <si>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</si>
  <si>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</si>
  <si>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</si>
  <si>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</si>
  <si>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</si>
  <si>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</si>
  <si>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</si>
  <si>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</si>
  <si>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</si>
  <si>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</si>
  <si>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</si>
  <si>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</si>
  <si>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</si>
  <si>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</si>
  <si>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</si>
  <si>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</si>
  <si>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</si>
  <si>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</si>
  <si>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</si>
  <si>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</si>
  <si>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</si>
  <si>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</si>
  <si>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</si>
  <si>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</si>
  <si>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</si>
  <si>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</si>
  <si>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</si>
  <si>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</si>
  <si>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</si>
  <si>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</si>
  <si>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</si>
  <si>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</si>
  <si>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</si>
  <si>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</si>
  <si>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</si>
  <si>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</si>
  <si>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</si>
  <si>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</si>
  <si>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</si>
  <si>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</si>
  <si>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</si>
  <si>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</si>
  <si>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</si>
  <si>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</si>
  <si>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</si>
  <si>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</si>
  <si>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</si>
  <si>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</si>
  <si>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</si>
  <si>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</si>
  <si>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</si>
  <si>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</si>
  <si>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</si>
  <si>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</si>
  <si>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</si>
  <si>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</si>
  <si>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</si>
  <si>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</si>
  <si>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</si>
  <si>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</si>
  <si>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</si>
  <si>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</si>
  <si>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</si>
  <si>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</si>
  <si>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</si>
  <si>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</si>
  <si>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</si>
  <si>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</si>
  <si>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</si>
  <si>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</si>
  <si>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</si>
  <si>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</si>
  <si>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</si>
  <si>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</si>
  <si>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</si>
  <si>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</si>
  <si>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</si>
  <si>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</si>
  <si>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</si>
  <si>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</si>
  <si>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</si>
  <si>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</si>
  <si>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</si>
  <si>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</si>
  <si>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</si>
  <si>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</si>
  <si>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</si>
  <si>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</si>
  <si>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</si>
  <si>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</si>
  <si>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</si>
  <si>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</si>
  <si>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</si>
  <si>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</si>
  <si>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</si>
  <si>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</si>
  <si>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</si>
  <si>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</si>
  <si>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</si>
  <si>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</si>
  <si>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</si>
  <si>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</si>
  <si>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</si>
  <si>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</si>
  <si>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</si>
  <si>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</si>
  <si>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</si>
  <si>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</si>
  <si>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</si>
  <si>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</si>
  <si>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</si>
  <si>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</si>
  <si>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</si>
  <si>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</si>
  <si>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</si>
  <si>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</si>
  <si>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</si>
  <si>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</si>
  <si>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</si>
  <si>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</si>
  <si>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</si>
  <si>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</si>
  <si>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</si>
  <si>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</si>
  <si>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</si>
  <si>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</si>
  <si>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</si>
  <si>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</si>
  <si>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</si>
  <si>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</si>
  <si>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</si>
  <si>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</si>
  <si>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</si>
  <si>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</si>
  <si>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</si>
  <si>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</si>
  <si>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</si>
  <si>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</si>
  <si>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</si>
  <si>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</si>
  <si>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</si>
  <si>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</si>
  <si>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</si>
  <si>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</si>
  <si>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</si>
  <si>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</si>
  <si>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</si>
  <si>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</si>
  <si>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</si>
  <si>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</si>
  <si>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</si>
  <si>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</si>
  <si>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</si>
  <si>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</si>
  <si>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</si>
  <si>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</si>
  <si>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</si>
  <si>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</si>
  <si>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</si>
  <si>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</si>
  <si>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</si>
  <si>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</si>
  <si>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</si>
  <si>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</si>
  <si>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</si>
  <si>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</si>
  <si>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</si>
  <si>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</si>
  <si>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</si>
  <si>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</si>
  <si>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</si>
  <si>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</si>
  <si>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</si>
  <si>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</si>
  <si>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</si>
  <si>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</si>
  <si>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</si>
  <si>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</si>
  <si>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</si>
  <si>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</si>
  <si>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</si>
  <si>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</si>
  <si>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</si>
  <si>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</si>
  <si>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</si>
  <si>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</si>
  <si>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</si>
  <si>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</si>
  <si>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</si>
  <si>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</si>
  <si>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</si>
  <si>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</si>
  <si>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</si>
  <si>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</si>
  <si>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</si>
  <si>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</si>
  <si>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</si>
  <si>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</si>
  <si>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</si>
  <si>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</si>
  <si>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</si>
  <si>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</si>
  <si>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</si>
  <si>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Agrario</t>
  </si>
  <si>
    <t>BPO Banco de Occidente</t>
  </si>
  <si>
    <t>BPO Banco Unión</t>
  </si>
  <si>
    <t>Luz Marina Coronado</t>
  </si>
  <si>
    <t>AS400</t>
  </si>
  <si>
    <t>AS400 - JAVA</t>
  </si>
  <si>
    <t>CB-NO-IN-AS244905-79143-PRD</t>
  </si>
  <si>
    <t>CB-NO-IN-N/A-79107-PRD</t>
  </si>
  <si>
    <t>CB-NO-EX-N/A-CRM79216-PRD</t>
  </si>
  <si>
    <t>CB-EM-IN-AS244905 -CRM79214-PRB</t>
  </si>
  <si>
    <t>CB-NO-EX-N/A-CRM 79230 -PRD</t>
  </si>
  <si>
    <t>CB-NO-EX-N/A-CRM 79232 -PRD</t>
  </si>
  <si>
    <t>CB-NO-EX-N/A-79224 -PDCL</t>
  </si>
  <si>
    <t>CB-NO-EX-N/A-79215-PRD</t>
  </si>
  <si>
    <t>CB-NO-IN-AS244905-79222-PBCL</t>
  </si>
  <si>
    <t>SOLICITUD DE PERMISOS FILEZILLA PRODUCCIÓN NAOS</t>
  </si>
  <si>
    <t>Creación de usuarios para ingreso a ambiente productivo Nimbus y Naos</t>
  </si>
  <si>
    <t>Afiliación capturas Amex</t>
  </si>
  <si>
    <t>CRM12458 ERROR MIGRACION SLSLC</t>
  </si>
  <si>
    <t>COMITE DE CAMBIOS ACTIVACION USUARIO BPOGYF645A - CRM 37929 SOLICITUD MODIFICACION NOMBRE CORTO</t>
  </si>
  <si>
    <t>COMITE DE CAMBIOS ACTIVACION USUARIO BPOBCC645A - CRM37957 Modificación campo TRMA04 grupo transferencia 721, 722, 723,724 ENVIO ARCHIVO MOV. CONS</t>
  </si>
  <si>
    <t xml:space="preserve">Comite de cambios administardor Popular- DRP Banco Popular </t>
  </si>
  <si>
    <t>Solicitud archivo L046</t>
  </si>
  <si>
    <t>Importación llaves PVV y XCJCAJA</t>
  </si>
  <si>
    <t>AS•NET</t>
  </si>
  <si>
    <t>BPO Banco Coopcentral</t>
  </si>
  <si>
    <t>BPO Banco Popular</t>
  </si>
  <si>
    <t>BPO Ban 100</t>
  </si>
  <si>
    <t>Banco Agrario</t>
  </si>
  <si>
    <t>Alejandro Traslaviña</t>
  </si>
  <si>
    <t>Cesar Galan</t>
  </si>
  <si>
    <t>Deicy Maldonado</t>
  </si>
  <si>
    <t>Nataly Pardo</t>
  </si>
  <si>
    <t>Angel Romero</t>
  </si>
  <si>
    <t>Diana Pataquiva</t>
  </si>
  <si>
    <t>Jeniffer Llanos</t>
  </si>
  <si>
    <t>https://crm.asnetla.com/sas-prod-it/front/ticket.form.php?id=79143</t>
  </si>
  <si>
    <t>https://crm.asnetla.com/sas-prod-it/front/ticket.form.php?id=79107</t>
  </si>
  <si>
    <t>https://crm.asnetla.com/sas-prod-it/front/ticket.form.php?id=79216</t>
  </si>
  <si>
    <t>\\Atlas\proyectos\AdmProy\BPO ASNET\BPO BANCO AGRARIO\MODERNIZACIÓN\AS2449 MODERNIZACION - CORE TARJETA DE CREDITO\AS244905 - Faltantes Modernización BAC\CRM12458 - Error Migracion SLSLC</t>
  </si>
  <si>
    <t>https://crm.asnetla.com/sas-prod-it/front/ticket.form.php?id=79230</t>
  </si>
  <si>
    <t>https://crm.asnetla.com/sas-prod-it/front/ticket.form.php?id=79232</t>
  </si>
  <si>
    <t>https://crm.asnetla.com/sas-prod-it/front/ticket.form.php?id=79224</t>
  </si>
  <si>
    <t>https://crm.asnetla.com/sas-prod-it/front/ticket.form.php?id=79215</t>
  </si>
  <si>
    <t>https://crm.asnetla.com/sas-prod-it/front/ticket.form.php?id=79222</t>
  </si>
  <si>
    <t>Se remite ante el comité la solicitud CRM 79143, la cual busca la asignación de permisos de acceso a la herramienta FileZilla en el ambiente de Producción NAOS para el Banco Agrario (proyecto Modernización) dado a que es el ambiente actual de pruebas del cliente. El requerimiento tiene como objetivo principal permitir al equipo técnico el acceso a los archivos físicos de entrada y salida generados durante los procesos de cierre de la entidad, con el fin de validar las interfaces y brindar soporte oportuno ante los escalamientos reportados. Tras una revisión inicial donde se solicitó mayor detalle sobre las actividades, el solicitante remitió el formato corregido especificando que el acceso es estrictamente para la certificación autorizada de las respuestas del sistema.</t>
  </si>
  <si>
    <t>Se presenta el CRM 79107, el cual gestiona la creación de perfiles de usuario para el ingreso a los ambientes productivos Nimbus (IP 192.168.105.194) y Naos (IP 152.168.104.184). Esta medida responde a la reciente fusión de los equipos de compensación, lo que exige que el personal de certificación liderado por la coordinadora Marta Liliana Mejía y seis especialistas adicionales cuente con credenciales individuales para brindar soporte técnico 24/7 a los incidentes operativos radicados en el repositorio de servicio al cliente. Para garantizar la consistencia en los privilegios, se ha definido que los nuevos accesos se configuren tomando como referencia técnica los permisos y el código de nómina 598 del usuario de Andrea Camila Leal.</t>
  </si>
  <si>
    <t>NAA</t>
  </si>
  <si>
    <t>Se requiere implementar en NAOS Producción el ajuste de un programa que está presentando un error en la migración de una tabla. Este ajuste contempla realizar el pase del componente que controla la asignación del BIN a 8 para la tabla SLSLC. Esto es importante, ya que podría retrasar las pruebas de la entidad.</t>
  </si>
  <si>
    <t>Se radica ante el comité la solicitud CRM 79216 para la gestión del proceso de afiliación de capturas Amex, bajo la responsabilidad del área de Operaciones y Medios de Pago. El requerimiento surge debido a que la red reportó las cuentas con un desfase de ocho días posteriores a la captura, lo que impidió realizar el empalme o "match" automático en el sistema. Para solventar esta inconsistencia, es necesaria la habilitación de un usuario administrador que ejecute el proceso de unificación de cuentas, insertando manualmente los registros de los comercios en el archivo CJCTA. Esta intervención permitirá que el aplicativo procese correctamente el archivo CJEC y finalice la afiliación de los comercios de manera exitosa en el ambiente de producción del Banco de Occidente.</t>
  </si>
  <si>
    <t>Se presentó ante el comité la solicitud CRM 79215, referente al requerimiento de la entidad BPO Ban100 para la retransmisión de información. El procedimiento técnico consiste en la habilitación de un usuario administrador para modificar los nombres de los archivos actuales, identificados como L040231204 y L040230730, pertenecientes a la librería puente de las fechas diciembre de 2023 y julio de 2025 respectivamente. Esta intervención en el ambiente de producción, bajo la responsabilidad del área de Operaciones y Medios de Pago, es indispensable para configurar y permitir la retransmisión de los archivos 46 (L046) solicitada por el usuario de la entidad para normalizar el flujo de información pendiente</t>
  </si>
  <si>
    <t>Se presenta el CRM 79230, referente a un requerimiento de la entidad BPO Banco Unión. La intervención técnica consiste en la habilitación del usuario administrador BPOGYFMA para atender el ticket de soporte 37929, cuyo objetivo es realizar la modificación del campo "Nombre Corto" en la tabla CLMAC. Este ajuste es necesario para corregir la denominación del nombre asociado a la tarjeta de crédito del cliente Hernando Nieto Corrales en el ambiente de producción, bajo la gestión del área de Operaciones y Medios de Pago.</t>
  </si>
  <si>
    <t>Se ha radicado ante el comité la solicitud CRM 79232, referente a un ajuste en el ambiente productivo para la entidad BPO Banco Coopcentral (FESICOL). El requerimiento técnico consiste en la activación del usuario administrador BPOBCC645A para atender el ticket 37957, debido a una incidencia donde no se está generando el archivo de movimientos de Tarjeta de Crédito (TC) en la ruta del servidor de grupos de transferencia. La intervención, bajo la gestión del área de Operaciones y Medios de Pago, implica la modificación del campo Pgm GoAnywhere (TRN484) para los grupos de transferencia 721, 722, 723 y 724, con el fin de corregir un error en el direccionamiento y asegurar que el archivo MOV_CONS se muestre correctamente en la ruta correspondiente de GAW.</t>
  </si>
  <si>
    <t>Se ha radicado ante el comité la solicitud CRM 79224, bajo la responsabilidad del área de Fábrica de Software, para la gestión operativa de la entidad BPO Banco Popular. El requerimiento consiste en la habilitación del usuario administrador BPOGBP558A para llevar a cabo la ejecución del Plan de Recuperación ante Desastres (DRP), específicamente para realizar el cambio de roles entre los ambientes Nimbus y Naos. Esta actividad técnica está programada para ejecutarse en horario extralaboral, entre las 21:00 y las 23:00 horas, con el fin de asegurar la continuidad del negocio y brindar el soporte necesario durante la transición de servicios entre los nodos de producción.</t>
  </si>
  <si>
    <t>Se ha radicado ante el comité la solicitud de cambio CRM 79222 para el Banco Agrario, bajo la responsabilidad de Fábrica de Software. El requerimiento consiste en la ejecución de un proceso crítico de siembra de llaves criptográficas en la máquina NAOS, específicamente para las llaves PVV y QCJK. Este procedimiento es indispensable para avanzar en el proyecto de Modernización, ya que permite importar las llaves del banco al ambiente de pruebas local y habilitar el procesamiento de los archivos operativos XCJCAJA.
De manera particular, la siembra de la llave PVV de la entidad constituye el elemento central de esta solicitud, dado que habilita la certificación del proceso de migración al permitir la validación técnica del PIN o clave del cliente en las tarjetas que operan bajo este estándar. Para garantizar la integridad y seguridad del proceso, se requiere el soporte coordinado del equipo de Infraestructura de Producción, los cuales están encargados de la apertura física de las llaves y del equipo de Criptografía, responsable de la exportación e importación de los componentes en los HSM del ambiente de pruebas. Esta labor asegura que la transición de los servicios PVV al nuevo esquema operativo sea transparente y sin impactos en la experiencia del usuario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</si>
</sst>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rm.asnetla.com/sas-prod-it/front/ticket.form.php?id=79215" TargetMode="External"/><Relationship Id="rId3" Type="http://schemas.openxmlformats.org/officeDocument/2006/relationships/hyperlink" Target="https://crm.asnetla.com/sas-prod-it/front/ticket.form.php?id=79216" TargetMode="External"/><Relationship Id="rId7" Type="http://schemas.openxmlformats.org/officeDocument/2006/relationships/hyperlink" Target="https://crm.asnetla.com/sas-prod-it/front/ticket.form.php?id=79224" TargetMode="External"/><Relationship Id="rId2" Type="http://schemas.openxmlformats.org/officeDocument/2006/relationships/hyperlink" Target="https://crm.asnetla.com/sas-prod-it/front/ticket.form.php?id=79107" TargetMode="External"/><Relationship Id="rId1" Type="http://schemas.openxmlformats.org/officeDocument/2006/relationships/hyperlink" Target="https://crm.asnetla.com/sas-prod-it/front/ticket.form.php?id=79143" TargetMode="External"/><Relationship Id="rId6" Type="http://schemas.openxmlformats.org/officeDocument/2006/relationships/hyperlink" Target="https://crm.asnetla.com/sas-prod-it/front/ticket.form.php?id=79232" TargetMode="External"/><Relationship Id="rId5" Type="http://schemas.openxmlformats.org/officeDocument/2006/relationships/hyperlink" Target="https://crm.asnetla.com/sas-prod-it/front/ticket.form.php?id=79230" TargetMode="External"/><Relationship Id="rId10" Type="http://schemas.openxmlformats.org/officeDocument/2006/relationships/printerSettings" Target="../printerSettings/printerSettings1.bin"/><Relationship Id="rId4" Type="http://schemas.openxmlformats.org/officeDocument/2006/relationships/hyperlink" Target="file:///\\Atlas\proyectos\AdmProy\BPO%20ASNET\BPO%20BANCO%20AGRARIO\MODERNIZACI&#211;N\AS2449%20MODERNIZACION%20-%20CORE%20TARJETA%20DE%20CREDITO\AS244905%20-%20Faltantes%20Modernizaci&#243;n%20BAC\CRM12458%20-%20Error%20Migracion%20SLSLC" TargetMode="External"/><Relationship Id="rId9" Type="http://schemas.openxmlformats.org/officeDocument/2006/relationships/hyperlink" Target="https://crm.asnetla.com/sas-prod-it/front/ticket.form.php?id=7922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10"/>
  <sheetViews>
    <sheetView tabSelected="1" zoomScale="115" zoomScaleNormal="115" workbookViewId="0">
      <selection activeCell="D10" sqref="D10"/>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22.7109375"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328</v>
      </c>
      <c r="B2" s="7" t="s">
        <v>337</v>
      </c>
      <c r="C2" s="19">
        <v>46106</v>
      </c>
      <c r="D2" s="7" t="s">
        <v>367</v>
      </c>
      <c r="E2" s="6" t="s">
        <v>346</v>
      </c>
      <c r="F2" s="9" t="s">
        <v>351</v>
      </c>
      <c r="G2" s="1" t="str" cm="1">
        <f t="array" ref="G2">CargoDe(F2)</f>
        <v xml:space="preserve">Analista de Certificación </v>
      </c>
      <c r="H2" s="9" t="s">
        <v>369</v>
      </c>
      <c r="I2" s="9">
        <v>79143</v>
      </c>
      <c r="J2" s="20" t="s">
        <v>358</v>
      </c>
    </row>
    <row r="3" spans="1:10" ht="15.75" thickBot="1">
      <c r="A3" s="4" t="s">
        <v>329</v>
      </c>
      <c r="B3" s="3" t="s">
        <v>338</v>
      </c>
      <c r="C3" s="19">
        <v>46106</v>
      </c>
      <c r="D3" s="7" t="s">
        <v>368</v>
      </c>
      <c r="E3" s="3" t="s">
        <v>346</v>
      </c>
      <c r="F3" s="1" t="s">
        <v>357</v>
      </c>
      <c r="G3" s="1" t="str" cm="1">
        <f t="array" ref="G3">CargoDe(F3)</f>
        <v xml:space="preserve">Analista de Certificación </v>
      </c>
      <c r="H3" s="9" t="s">
        <v>369</v>
      </c>
      <c r="I3" s="9">
        <v>79107</v>
      </c>
      <c r="J3" s="20" t="s">
        <v>359</v>
      </c>
    </row>
    <row r="4" spans="1:10" ht="15.75" thickBot="1">
      <c r="A4" s="8" t="s">
        <v>330</v>
      </c>
      <c r="B4" s="7" t="s">
        <v>339</v>
      </c>
      <c r="C4" s="19">
        <v>46106</v>
      </c>
      <c r="D4" s="7" t="s">
        <v>371</v>
      </c>
      <c r="E4" s="6" t="s">
        <v>323</v>
      </c>
      <c r="F4" s="9" t="s">
        <v>352</v>
      </c>
      <c r="G4" s="1" t="str" cm="1">
        <f t="array" ref="G4">CargoDe(F4)</f>
        <v xml:space="preserve">Analista Gestión de Incidentes </v>
      </c>
      <c r="H4" s="9" t="s">
        <v>326</v>
      </c>
      <c r="I4" s="9">
        <v>79216</v>
      </c>
      <c r="J4" s="20" t="s">
        <v>360</v>
      </c>
    </row>
    <row r="5" spans="1:10" ht="15.75" thickBot="1">
      <c r="A5" s="8" t="s">
        <v>331</v>
      </c>
      <c r="B5" s="7" t="s">
        <v>340</v>
      </c>
      <c r="C5" s="19">
        <v>46106</v>
      </c>
      <c r="D5" s="7" t="s">
        <v>370</v>
      </c>
      <c r="E5" s="6" t="s">
        <v>322</v>
      </c>
      <c r="F5" s="9" t="s">
        <v>353</v>
      </c>
      <c r="G5" s="1" t="str" cm="1">
        <f t="array" ref="G5">CargoDe(F5)</f>
        <v>Líder de desarrollo</v>
      </c>
      <c r="H5" s="9" t="s">
        <v>326</v>
      </c>
      <c r="I5" s="9">
        <v>79214</v>
      </c>
      <c r="J5" s="20" t="s">
        <v>361</v>
      </c>
    </row>
    <row r="6" spans="1:10" ht="15.75" thickBot="1">
      <c r="A6" s="8" t="s">
        <v>332</v>
      </c>
      <c r="B6" s="7" t="s">
        <v>341</v>
      </c>
      <c r="C6" s="19">
        <v>46106</v>
      </c>
      <c r="D6" s="7" t="s">
        <v>373</v>
      </c>
      <c r="E6" s="6" t="s">
        <v>324</v>
      </c>
      <c r="F6" s="9" t="s">
        <v>325</v>
      </c>
      <c r="G6" s="1" t="str" cm="1">
        <f t="array" ref="G6">CargoDe(F6)</f>
        <v xml:space="preserve">Analista Gestión de Incidentes </v>
      </c>
      <c r="H6" s="9" t="s">
        <v>326</v>
      </c>
      <c r="I6" s="9">
        <v>79230</v>
      </c>
      <c r="J6" s="20" t="s">
        <v>362</v>
      </c>
    </row>
    <row r="7" spans="1:10" ht="15.75" thickBot="1">
      <c r="A7" s="8" t="s">
        <v>333</v>
      </c>
      <c r="B7" s="7" t="s">
        <v>342</v>
      </c>
      <c r="C7" s="19">
        <v>46106</v>
      </c>
      <c r="D7" s="7" t="s">
        <v>374</v>
      </c>
      <c r="E7" s="6" t="s">
        <v>347</v>
      </c>
      <c r="F7" s="9" t="s">
        <v>325</v>
      </c>
      <c r="G7" s="1" t="str" cm="1">
        <f t="array" ref="G7">CargoDe(F7)</f>
        <v xml:space="preserve">Analista Gestión de Incidentes </v>
      </c>
      <c r="H7" s="9" t="s">
        <v>326</v>
      </c>
      <c r="I7" s="9">
        <v>79232</v>
      </c>
      <c r="J7" s="20" t="s">
        <v>363</v>
      </c>
    </row>
    <row r="8" spans="1:10" ht="15.75" thickBot="1">
      <c r="A8" s="8" t="s">
        <v>334</v>
      </c>
      <c r="B8" s="7" t="s">
        <v>343</v>
      </c>
      <c r="C8" s="19">
        <v>46106</v>
      </c>
      <c r="D8" s="7" t="s">
        <v>375</v>
      </c>
      <c r="E8" s="6" t="s">
        <v>348</v>
      </c>
      <c r="F8" s="9" t="s">
        <v>354</v>
      </c>
      <c r="G8" s="1" t="str" cm="1">
        <f t="array" ref="G8">CargoDe(F8)</f>
        <v xml:space="preserve">Analista de Certificación </v>
      </c>
      <c r="H8" s="9" t="s">
        <v>327</v>
      </c>
      <c r="I8" s="9">
        <v>79224</v>
      </c>
      <c r="J8" s="20" t="s">
        <v>364</v>
      </c>
    </row>
    <row r="9" spans="1:10" ht="15.75" thickBot="1">
      <c r="A9" s="8" t="s">
        <v>335</v>
      </c>
      <c r="B9" s="7" t="s">
        <v>344</v>
      </c>
      <c r="C9" s="19">
        <v>46106</v>
      </c>
      <c r="D9" s="7" t="s">
        <v>372</v>
      </c>
      <c r="E9" s="6" t="s">
        <v>349</v>
      </c>
      <c r="F9" s="9" t="s">
        <v>355</v>
      </c>
      <c r="G9" s="1" t="str" cm="1">
        <f t="array" ref="G9">CargoDe(F9)</f>
        <v xml:space="preserve">Analista Gestión de Incidentes </v>
      </c>
      <c r="H9" s="9" t="s">
        <v>326</v>
      </c>
      <c r="I9" s="9">
        <v>79215</v>
      </c>
      <c r="J9" s="20" t="s">
        <v>365</v>
      </c>
    </row>
    <row r="10" spans="1:10" ht="15.75" thickBot="1">
      <c r="A10" s="8" t="s">
        <v>336</v>
      </c>
      <c r="B10" s="7" t="s">
        <v>345</v>
      </c>
      <c r="C10" s="19">
        <v>46106</v>
      </c>
      <c r="D10" s="7" t="s">
        <v>376</v>
      </c>
      <c r="E10" s="6" t="s">
        <v>350</v>
      </c>
      <c r="F10" s="9" t="s">
        <v>356</v>
      </c>
      <c r="G10" s="1" t="str" cm="1">
        <f t="array" ref="G10">CargoDe(F10)</f>
        <v xml:space="preserve">Líder de Proyectos </v>
      </c>
      <c r="H10" s="9" t="s">
        <v>326</v>
      </c>
      <c r="I10" s="9">
        <v>79222</v>
      </c>
      <c r="J10" s="20" t="s">
        <v>366</v>
      </c>
    </row>
  </sheetData>
  <autoFilter ref="A1:I1" xr:uid="{684D8CE7-54CB-4955-91E7-CE8464FEDD52}"/>
  <hyperlinks>
    <hyperlink ref="J2" r:id="rId1" xr:uid="{91AD6A37-96CD-4DAB-A0FC-EB26D3F98A55}"/>
    <hyperlink ref="J3" r:id="rId2" xr:uid="{72E10BCF-51B2-45D3-86E5-1AECA65F54D1}"/>
    <hyperlink ref="J4" r:id="rId3" xr:uid="{FC13D0DE-E521-4FBA-9E0E-3A351AB7875B}"/>
    <hyperlink ref="J5" r:id="rId4" xr:uid="{D1205259-3C7B-4842-841A-E9908C5FDBE2}"/>
    <hyperlink ref="J6" r:id="rId5" xr:uid="{62C088BE-2EB2-437F-8106-D90E9012EBD5}"/>
    <hyperlink ref="J7" r:id="rId6" xr:uid="{BF4D11E1-71B6-48E2-80E1-D398DE183C2C}"/>
    <hyperlink ref="J8" r:id="rId7" xr:uid="{DDFD2819-6ACA-4FCB-97F1-D0886395A5DC}"/>
    <hyperlink ref="J9" r:id="rId8" xr:uid="{0F319CC8-17F7-4A36-B818-9B92CBC6A7EB}"/>
    <hyperlink ref="J10" r:id="rId9" xr:uid="{58D78CDA-AA86-4E3B-862B-EB2CD03D6337}"/>
  </hyperlinks>
  <pageMargins left="0.7" right="0.7" top="0.75" bottom="0.75" header="0.3" footer="0.3"/>
  <pageSetup orientation="portrait"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C11" sqref="C11"/>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2026-03-26T20:32:10Z</dcterms:modified>
</cp:coreProperties>
</file>